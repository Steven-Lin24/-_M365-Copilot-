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cility\Desktop\Aiworks\課程專案\Ipsen\實作素材\"/>
    </mc:Choice>
  </mc:AlternateContent>
  <xr:revisionPtr revIDLastSave="0" documentId="13_ncr:1_{2963E481-02C8-44D6-86D6-ECF2D92BAEC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業務銷售數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" i="1" l="1"/>
  <c r="N73" i="1" s="1"/>
  <c r="L72" i="1"/>
  <c r="N72" i="1" s="1"/>
  <c r="L71" i="1"/>
  <c r="N71" i="1" s="1"/>
  <c r="L70" i="1"/>
  <c r="N70" i="1" s="1"/>
  <c r="L69" i="1"/>
  <c r="N69" i="1" s="1"/>
  <c r="L68" i="1"/>
  <c r="N68" i="1" s="1"/>
  <c r="L67" i="1"/>
  <c r="N67" i="1" s="1"/>
  <c r="L66" i="1"/>
  <c r="N66" i="1" s="1"/>
  <c r="L65" i="1"/>
  <c r="N65" i="1" s="1"/>
  <c r="L64" i="1"/>
  <c r="N64" i="1" s="1"/>
  <c r="L63" i="1"/>
  <c r="N63" i="1" s="1"/>
  <c r="L62" i="1"/>
  <c r="N62" i="1" s="1"/>
  <c r="L61" i="1"/>
  <c r="N61" i="1" s="1"/>
  <c r="L60" i="1"/>
  <c r="N60" i="1" s="1"/>
  <c r="L59" i="1"/>
  <c r="N59" i="1" s="1"/>
  <c r="L58" i="1"/>
  <c r="N58" i="1" s="1"/>
  <c r="L57" i="1"/>
  <c r="N57" i="1" s="1"/>
  <c r="L56" i="1"/>
  <c r="N56" i="1" s="1"/>
  <c r="L55" i="1"/>
  <c r="N55" i="1" s="1"/>
  <c r="L54" i="1"/>
  <c r="N54" i="1" s="1"/>
  <c r="L53" i="1"/>
  <c r="N53" i="1" s="1"/>
  <c r="L52" i="1"/>
  <c r="N52" i="1" s="1"/>
  <c r="L51" i="1"/>
  <c r="N51" i="1" s="1"/>
  <c r="L50" i="1"/>
  <c r="N50" i="1" s="1"/>
  <c r="L49" i="1"/>
  <c r="N49" i="1" s="1"/>
  <c r="L48" i="1"/>
  <c r="N48" i="1" s="1"/>
  <c r="L47" i="1"/>
  <c r="N47" i="1" s="1"/>
  <c r="L46" i="1"/>
  <c r="N46" i="1" s="1"/>
  <c r="L45" i="1"/>
  <c r="N45" i="1" s="1"/>
  <c r="L44" i="1"/>
  <c r="N44" i="1" s="1"/>
  <c r="L43" i="1"/>
  <c r="N43" i="1" s="1"/>
  <c r="L42" i="1"/>
  <c r="N42" i="1" s="1"/>
  <c r="L41" i="1"/>
  <c r="N41" i="1" s="1"/>
  <c r="L40" i="1"/>
  <c r="N40" i="1" s="1"/>
  <c r="L39" i="1"/>
  <c r="N39" i="1" s="1"/>
  <c r="L38" i="1"/>
  <c r="N38" i="1" s="1"/>
  <c r="L37" i="1"/>
  <c r="N37" i="1" s="1"/>
  <c r="L36" i="1"/>
  <c r="N36" i="1" s="1"/>
  <c r="L35" i="1"/>
  <c r="N35" i="1" s="1"/>
  <c r="L34" i="1"/>
  <c r="N34" i="1" s="1"/>
  <c r="L33" i="1"/>
  <c r="N33" i="1" s="1"/>
  <c r="L32" i="1"/>
  <c r="N32" i="1" s="1"/>
  <c r="L31" i="1"/>
  <c r="N31" i="1" s="1"/>
  <c r="L30" i="1"/>
  <c r="N30" i="1" s="1"/>
  <c r="L29" i="1"/>
  <c r="N29" i="1" s="1"/>
  <c r="L28" i="1"/>
  <c r="N28" i="1" s="1"/>
  <c r="L27" i="1"/>
  <c r="N27" i="1" s="1"/>
  <c r="L26" i="1"/>
  <c r="N26" i="1" s="1"/>
  <c r="L25" i="1"/>
  <c r="N25" i="1" s="1"/>
  <c r="L24" i="1"/>
  <c r="N24" i="1" s="1"/>
  <c r="L23" i="1"/>
  <c r="N23" i="1" s="1"/>
  <c r="L22" i="1"/>
  <c r="N22" i="1" s="1"/>
  <c r="L21" i="1"/>
  <c r="N21" i="1" s="1"/>
  <c r="L20" i="1"/>
  <c r="N20" i="1" s="1"/>
  <c r="L19" i="1"/>
  <c r="N19" i="1" s="1"/>
  <c r="L18" i="1"/>
  <c r="N18" i="1" s="1"/>
  <c r="L17" i="1"/>
  <c r="N17" i="1" s="1"/>
  <c r="L16" i="1"/>
  <c r="N16" i="1" s="1"/>
  <c r="L15" i="1"/>
  <c r="N15" i="1" s="1"/>
  <c r="L14" i="1"/>
  <c r="N14" i="1" s="1"/>
  <c r="L13" i="1"/>
  <c r="N13" i="1" s="1"/>
  <c r="L12" i="1"/>
  <c r="N12" i="1" s="1"/>
  <c r="L11" i="1"/>
  <c r="N11" i="1" s="1"/>
  <c r="L10" i="1"/>
  <c r="N10" i="1" s="1"/>
  <c r="L9" i="1"/>
  <c r="N9" i="1" s="1"/>
  <c r="L8" i="1"/>
  <c r="N8" i="1" s="1"/>
  <c r="L7" i="1"/>
  <c r="N7" i="1" s="1"/>
  <c r="L6" i="1"/>
  <c r="N6" i="1" s="1"/>
  <c r="L5" i="1"/>
  <c r="N5" i="1" s="1"/>
  <c r="L4" i="1"/>
  <c r="N4" i="1" s="1"/>
  <c r="L3" i="1"/>
  <c r="N3" i="1" s="1"/>
  <c r="L2" i="1"/>
  <c r="N2" i="1" s="1"/>
</calcChain>
</file>

<file path=xl/sharedStrings.xml><?xml version="1.0" encoding="utf-8"?>
<sst xmlns="http://schemas.openxmlformats.org/spreadsheetml/2006/main" count="518" uniqueCount="105">
  <si>
    <t>交易編號</t>
  </si>
  <si>
    <t>日期</t>
  </si>
  <si>
    <t>業務人員</t>
  </si>
  <si>
    <t>區域</t>
  </si>
  <si>
    <t>客戶類型</t>
  </si>
  <si>
    <t>產品編號</t>
  </si>
  <si>
    <t>產品名稱</t>
  </si>
  <si>
    <t>產品類別</t>
  </si>
  <si>
    <t>數量</t>
  </si>
  <si>
    <t>單價（元）</t>
  </si>
  <si>
    <t>折扣率</t>
  </si>
  <si>
    <t>銷售額（元）</t>
  </si>
  <si>
    <t>月度目標（元）</t>
  </si>
  <si>
    <t>達成率</t>
  </si>
  <si>
    <t>TX-0001</t>
  </si>
  <si>
    <t>王怡君</t>
  </si>
  <si>
    <t>北區</t>
  </si>
  <si>
    <t>醫學中心</t>
  </si>
  <si>
    <t>TX-0002</t>
  </si>
  <si>
    <t>林志豪</t>
  </si>
  <si>
    <t>區域醫院</t>
  </si>
  <si>
    <t>TX-0003</t>
  </si>
  <si>
    <t>陳品妤</t>
  </si>
  <si>
    <t>中區</t>
  </si>
  <si>
    <t>地區醫院</t>
  </si>
  <si>
    <t>TX-0004</t>
  </si>
  <si>
    <t>張書銘</t>
  </si>
  <si>
    <t>診所</t>
  </si>
  <si>
    <t>TX-0005</t>
  </si>
  <si>
    <t>李佳蓉</t>
  </si>
  <si>
    <t>南區</t>
  </si>
  <si>
    <t>TX-0006</t>
  </si>
  <si>
    <t>黃柏翰</t>
  </si>
  <si>
    <t>TX-0007</t>
  </si>
  <si>
    <t>TX-0008</t>
  </si>
  <si>
    <t>TX-0009</t>
  </si>
  <si>
    <t>TX-0010</t>
  </si>
  <si>
    <t>TX-0011</t>
  </si>
  <si>
    <t>TX-0012</t>
  </si>
  <si>
    <t>TX-0013</t>
  </si>
  <si>
    <t>TX-0014</t>
  </si>
  <si>
    <t>TX-0015</t>
  </si>
  <si>
    <t>TX-0016</t>
  </si>
  <si>
    <t>TX-0017</t>
  </si>
  <si>
    <t>TX-0018</t>
  </si>
  <si>
    <t>TX-0019</t>
  </si>
  <si>
    <t>TX-0020</t>
  </si>
  <si>
    <t>TX-0021</t>
  </si>
  <si>
    <t>TX-0022</t>
  </si>
  <si>
    <t>TX-0023</t>
  </si>
  <si>
    <t>TX-0024</t>
  </si>
  <si>
    <t>TX-0025</t>
  </si>
  <si>
    <t>TX-0026</t>
  </si>
  <si>
    <t>TX-0027</t>
  </si>
  <si>
    <t>TX-0028</t>
  </si>
  <si>
    <t>TX-0029</t>
  </si>
  <si>
    <t>TX-0030</t>
  </si>
  <si>
    <t>TX-0031</t>
  </si>
  <si>
    <t>TX-0032</t>
  </si>
  <si>
    <t>TX-0033</t>
  </si>
  <si>
    <t>TX-0034</t>
  </si>
  <si>
    <t>TX-0035</t>
  </si>
  <si>
    <t>TX-0036</t>
  </si>
  <si>
    <t>TX-0037</t>
  </si>
  <si>
    <t>TX-0038</t>
  </si>
  <si>
    <t>TX-0039</t>
  </si>
  <si>
    <t>TX-0040</t>
  </si>
  <si>
    <t>TX-0041</t>
  </si>
  <si>
    <t>TX-0042</t>
  </si>
  <si>
    <t>TX-0043</t>
  </si>
  <si>
    <t>TX-0044</t>
  </si>
  <si>
    <t>TX-0045</t>
  </si>
  <si>
    <t>TX-0046</t>
  </si>
  <si>
    <t>TX-0047</t>
  </si>
  <si>
    <t>TX-0048</t>
  </si>
  <si>
    <t>TX-0049</t>
  </si>
  <si>
    <t>TX-0050</t>
  </si>
  <si>
    <t>TX-0051</t>
  </si>
  <si>
    <t>TX-0052</t>
  </si>
  <si>
    <t>TX-0053</t>
  </si>
  <si>
    <t>TX-0054</t>
  </si>
  <si>
    <t>TX-0055</t>
  </si>
  <si>
    <t>TX-0056</t>
  </si>
  <si>
    <t>TX-0057</t>
  </si>
  <si>
    <t>TX-0058</t>
  </si>
  <si>
    <t>TX-0059</t>
  </si>
  <si>
    <t>TX-0060</t>
  </si>
  <si>
    <t>TX-0061</t>
  </si>
  <si>
    <t>TX-0062</t>
  </si>
  <si>
    <t>TX-0063</t>
  </si>
  <si>
    <t>TX-0064</t>
  </si>
  <si>
    <t>TX-0065</t>
  </si>
  <si>
    <t>TX-0066</t>
  </si>
  <si>
    <t>TX-0067</t>
  </si>
  <si>
    <t>TX-0068</t>
  </si>
  <si>
    <t>TX-0069</t>
  </si>
  <si>
    <t>TX-0070</t>
  </si>
  <si>
    <t>TX-0071</t>
  </si>
  <si>
    <t>TX-0072</t>
  </si>
  <si>
    <t>P1001</t>
  </si>
  <si>
    <t>神經科用藥</t>
  </si>
  <si>
    <t>P2001</t>
  </si>
  <si>
    <t>腫瘤科用藥</t>
  </si>
  <si>
    <t xml:space="preserve"> 注射劑</t>
  </si>
  <si>
    <t xml:space="preserve"> 凍晶注射劑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</si>
</sst>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6">
    <font>
      <sz val="11"/>
      <name val="Carlito"/>
    </font>
    <font>
      <sz val="10"/>
      <name val="Aptos"/>
      <family val="2"/>
    </font>
    <font>
      <b/>
      <sz val="10"/>
      <color rgb="FFFFFFFF"/>
      <name val="Aptos"/>
      <family val="2"/>
    </font>
    <font>
      <sz val="11"/>
      <name val="Carlito"/>
    </font>
    <font>
      <sz val="9"/>
      <name val="細明體"/>
      <family val="3"/>
      <charset val="136"/>
    </font>
    <font>
      <sz val="10"/>
      <name val="Aptos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0" xfId="1" applyFont="1" applyFill="1" applyAlignment="1">
      <alignment vertical="center" wrapText="1"/>
    </xf>
    <xf numFmtId="0" fontId="1" fillId="0" borderId="0" xfId="1" applyFont="1" applyAlignment="1">
      <alignment vertical="center"/>
    </xf>
    <xf numFmtId="176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N73" totalsRowShown="0">
  <tableColumns count="14">
    <tableColumn id="1" xr3:uid="{00000000-0010-0000-0000-000001000000}" name="交易編號"/>
    <tableColumn id="2" xr3:uid="{00000000-0010-0000-0000-000002000000}" name="日期"/>
    <tableColumn id="3" xr3:uid="{00000000-0010-0000-0000-000003000000}" name="業務人員"/>
    <tableColumn id="4" xr3:uid="{00000000-0010-0000-0000-000004000000}" name="區域"/>
    <tableColumn id="5" xr3:uid="{00000000-0010-0000-0000-000005000000}" name="客戶類型"/>
    <tableColumn id="6" xr3:uid="{00000000-0010-0000-0000-000006000000}" name="產品編號"/>
    <tableColumn id="7" xr3:uid="{00000000-0010-0000-0000-000007000000}" name="產品名稱"/>
    <tableColumn id="8" xr3:uid="{00000000-0010-0000-0000-000008000000}" name="產品類別"/>
    <tableColumn id="9" xr3:uid="{00000000-0010-0000-0000-000009000000}" name="數量"/>
    <tableColumn id="10" xr3:uid="{00000000-0010-0000-0000-00000A000000}" name="單價（元）"/>
    <tableColumn id="11" xr3:uid="{00000000-0010-0000-0000-00000B000000}" name="折扣率"/>
    <tableColumn id="12" xr3:uid="{00000000-0010-0000-0000-00000C000000}" name="銷售額（元）"/>
    <tableColumn id="13" xr3:uid="{00000000-0010-0000-0000-00000D000000}" name="月度目標（元）"/>
    <tableColumn id="14" xr3:uid="{00000000-0010-0000-0000-00000E000000}" name="達成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N73"/>
  <sheetViews>
    <sheetView showGridLines="0" tabSelected="1" workbookViewId="0">
      <pane ySplit="1" topLeftCell="A2" activePane="bottomLeft" state="frozen"/>
      <selection pane="bottomLeft" activeCell="G7" sqref="G7"/>
    </sheetView>
  </sheetViews>
  <sheetFormatPr defaultRowHeight="14"/>
  <cols>
    <col min="1" max="2" width="13" customWidth="1"/>
    <col min="3" max="3" width="12" customWidth="1"/>
    <col min="4" max="4" width="10" customWidth="1"/>
    <col min="5" max="5" width="14" customWidth="1"/>
    <col min="6" max="6" width="12" customWidth="1"/>
    <col min="7" max="7" width="18" customWidth="1"/>
    <col min="8" max="8" width="12" customWidth="1"/>
    <col min="9" max="9" width="8" customWidth="1"/>
    <col min="10" max="10" width="13" customWidth="1"/>
    <col min="11" max="11" width="10" customWidth="1"/>
    <col min="12" max="13" width="14" customWidth="1"/>
    <col min="14" max="14" width="1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45662</v>
      </c>
      <c r="C2" s="2" t="s">
        <v>15</v>
      </c>
      <c r="D2" s="2" t="s">
        <v>16</v>
      </c>
      <c r="E2" s="2" t="s">
        <v>17</v>
      </c>
      <c r="F2" s="2" t="s">
        <v>99</v>
      </c>
      <c r="G2" s="6" t="s">
        <v>103</v>
      </c>
      <c r="H2" s="2" t="s">
        <v>100</v>
      </c>
      <c r="I2" s="2">
        <v>1</v>
      </c>
      <c r="J2" s="4">
        <v>240000</v>
      </c>
      <c r="K2" s="5">
        <v>0</v>
      </c>
      <c r="L2" s="4">
        <f t="shared" ref="L2:L33" si="0">I2*J2*(1-K2)</f>
        <v>240000</v>
      </c>
      <c r="M2" s="4">
        <v>950000</v>
      </c>
      <c r="N2" s="5">
        <f t="shared" ref="N2:N33" si="1">L2/M2</f>
        <v>0.25263157894736843</v>
      </c>
    </row>
    <row r="3" spans="1:14">
      <c r="A3" s="2" t="s">
        <v>18</v>
      </c>
      <c r="B3" s="3">
        <v>45700</v>
      </c>
      <c r="C3" s="2" t="s">
        <v>19</v>
      </c>
      <c r="D3" s="2" t="s">
        <v>16</v>
      </c>
      <c r="E3" s="2" t="s">
        <v>20</v>
      </c>
      <c r="F3" s="2" t="s">
        <v>101</v>
      </c>
      <c r="G3" s="2" t="s">
        <v>104</v>
      </c>
      <c r="H3" s="2" t="s">
        <v>102</v>
      </c>
      <c r="I3" s="2">
        <v>2</v>
      </c>
      <c r="J3" s="4">
        <v>700</v>
      </c>
      <c r="K3" s="5">
        <v>0.03</v>
      </c>
      <c r="L3" s="4">
        <f t="shared" si="0"/>
        <v>1358</v>
      </c>
      <c r="M3" s="4">
        <v>1060000</v>
      </c>
      <c r="N3" s="5">
        <f t="shared" si="1"/>
        <v>1.281132075471698E-3</v>
      </c>
    </row>
    <row r="4" spans="1:14">
      <c r="A4" s="2" t="s">
        <v>21</v>
      </c>
      <c r="B4" s="3">
        <v>45735</v>
      </c>
      <c r="C4" s="2" t="s">
        <v>22</v>
      </c>
      <c r="D4" s="2" t="s">
        <v>23</v>
      </c>
      <c r="E4" s="2" t="s">
        <v>24</v>
      </c>
      <c r="F4" s="2" t="s">
        <v>99</v>
      </c>
      <c r="G4" s="2" t="s">
        <v>103</v>
      </c>
      <c r="H4" s="2" t="s">
        <v>100</v>
      </c>
      <c r="I4" s="2">
        <v>3</v>
      </c>
      <c r="J4" s="4">
        <v>240000</v>
      </c>
      <c r="K4" s="5">
        <v>0.05</v>
      </c>
      <c r="L4" s="4">
        <f t="shared" si="0"/>
        <v>684000</v>
      </c>
      <c r="M4" s="4">
        <v>1170000</v>
      </c>
      <c r="N4" s="5">
        <f t="shared" si="1"/>
        <v>0.58461538461538465</v>
      </c>
    </row>
    <row r="5" spans="1:14">
      <c r="A5" s="2" t="s">
        <v>25</v>
      </c>
      <c r="B5" s="3">
        <v>45773</v>
      </c>
      <c r="C5" s="2" t="s">
        <v>26</v>
      </c>
      <c r="D5" s="2" t="s">
        <v>23</v>
      </c>
      <c r="E5" s="2" t="s">
        <v>27</v>
      </c>
      <c r="F5" s="2" t="s">
        <v>101</v>
      </c>
      <c r="G5" s="2" t="s">
        <v>104</v>
      </c>
      <c r="H5" s="2" t="s">
        <v>102</v>
      </c>
      <c r="I5" s="2">
        <v>4</v>
      </c>
      <c r="J5" s="4">
        <v>700</v>
      </c>
      <c r="K5" s="5">
        <v>0.08</v>
      </c>
      <c r="L5" s="4">
        <f t="shared" si="0"/>
        <v>2576</v>
      </c>
      <c r="M5" s="4">
        <v>1160000</v>
      </c>
      <c r="N5" s="5">
        <f t="shared" si="1"/>
        <v>2.2206896551724138E-3</v>
      </c>
    </row>
    <row r="6" spans="1:14">
      <c r="A6" s="2" t="s">
        <v>28</v>
      </c>
      <c r="B6" s="3">
        <v>45788</v>
      </c>
      <c r="C6" s="2" t="s">
        <v>29</v>
      </c>
      <c r="D6" s="2" t="s">
        <v>30</v>
      </c>
      <c r="E6" s="2" t="s">
        <v>17</v>
      </c>
      <c r="F6" s="2" t="s">
        <v>101</v>
      </c>
      <c r="G6" s="2" t="s">
        <v>104</v>
      </c>
      <c r="H6" s="2" t="s">
        <v>102</v>
      </c>
      <c r="I6" s="2">
        <v>5</v>
      </c>
      <c r="J6" s="4">
        <v>700</v>
      </c>
      <c r="K6" s="5">
        <v>0</v>
      </c>
      <c r="L6" s="4">
        <f t="shared" si="0"/>
        <v>3500</v>
      </c>
      <c r="M6" s="4">
        <v>1270000</v>
      </c>
      <c r="N6" s="5">
        <f t="shared" si="1"/>
        <v>2.7559055118110236E-3</v>
      </c>
    </row>
    <row r="7" spans="1:14">
      <c r="A7" s="2" t="s">
        <v>31</v>
      </c>
      <c r="B7" s="3">
        <v>45826</v>
      </c>
      <c r="C7" s="2" t="s">
        <v>32</v>
      </c>
      <c r="D7" s="2" t="s">
        <v>30</v>
      </c>
      <c r="E7" s="2" t="s">
        <v>20</v>
      </c>
      <c r="F7" s="2" t="s">
        <v>99</v>
      </c>
      <c r="G7" s="2" t="s">
        <v>103</v>
      </c>
      <c r="H7" s="2" t="s">
        <v>100</v>
      </c>
      <c r="I7" s="2">
        <v>6</v>
      </c>
      <c r="J7" s="4">
        <v>240000</v>
      </c>
      <c r="K7" s="5">
        <v>0.03</v>
      </c>
      <c r="L7" s="4">
        <f t="shared" si="0"/>
        <v>1396800</v>
      </c>
      <c r="M7" s="4">
        <v>1380000</v>
      </c>
      <c r="N7" s="5">
        <f t="shared" si="1"/>
        <v>1.0121739130434784</v>
      </c>
    </row>
    <row r="8" spans="1:14">
      <c r="A8" s="2" t="s">
        <v>33</v>
      </c>
      <c r="B8" s="3">
        <v>45863</v>
      </c>
      <c r="C8" s="2" t="s">
        <v>15</v>
      </c>
      <c r="D8" s="2" t="s">
        <v>16</v>
      </c>
      <c r="E8" s="2" t="s">
        <v>24</v>
      </c>
      <c r="F8" s="2" t="s">
        <v>101</v>
      </c>
      <c r="G8" s="2" t="s">
        <v>104</v>
      </c>
      <c r="H8" s="2" t="s">
        <v>102</v>
      </c>
      <c r="I8" s="2">
        <v>7</v>
      </c>
      <c r="J8" s="4">
        <v>700</v>
      </c>
      <c r="K8" s="5">
        <v>0.05</v>
      </c>
      <c r="L8" s="4">
        <f t="shared" si="0"/>
        <v>4655</v>
      </c>
      <c r="M8" s="4">
        <v>950000</v>
      </c>
      <c r="N8" s="5">
        <f t="shared" si="1"/>
        <v>4.8999999999999998E-3</v>
      </c>
    </row>
    <row r="9" spans="1:14">
      <c r="A9" s="2" t="s">
        <v>34</v>
      </c>
      <c r="B9" s="3">
        <v>45879</v>
      </c>
      <c r="C9" s="2" t="s">
        <v>19</v>
      </c>
      <c r="D9" s="2" t="s">
        <v>16</v>
      </c>
      <c r="E9" s="2" t="s">
        <v>27</v>
      </c>
      <c r="F9" s="2" t="s">
        <v>99</v>
      </c>
      <c r="G9" s="2" t="s">
        <v>103</v>
      </c>
      <c r="H9" s="2" t="s">
        <v>100</v>
      </c>
      <c r="I9" s="2">
        <v>1</v>
      </c>
      <c r="J9" s="4">
        <v>240000</v>
      </c>
      <c r="K9" s="5">
        <v>0.08</v>
      </c>
      <c r="L9" s="4">
        <f t="shared" si="0"/>
        <v>220800</v>
      </c>
      <c r="M9" s="4">
        <v>1060000</v>
      </c>
      <c r="N9" s="5">
        <f t="shared" si="1"/>
        <v>0.20830188679245282</v>
      </c>
    </row>
    <row r="10" spans="1:14">
      <c r="A10" s="2" t="s">
        <v>35</v>
      </c>
      <c r="B10" s="3">
        <v>45917</v>
      </c>
      <c r="C10" s="2" t="s">
        <v>22</v>
      </c>
      <c r="D10" s="2" t="s">
        <v>23</v>
      </c>
      <c r="E10" s="2" t="s">
        <v>17</v>
      </c>
      <c r="F10" s="2" t="s">
        <v>99</v>
      </c>
      <c r="G10" s="2" t="s">
        <v>103</v>
      </c>
      <c r="H10" s="2" t="s">
        <v>100</v>
      </c>
      <c r="I10" s="2">
        <v>2</v>
      </c>
      <c r="J10" s="4">
        <v>240000</v>
      </c>
      <c r="K10" s="5">
        <v>0</v>
      </c>
      <c r="L10" s="4">
        <f t="shared" si="0"/>
        <v>480000</v>
      </c>
      <c r="M10" s="4">
        <v>1170000</v>
      </c>
      <c r="N10" s="5">
        <f t="shared" si="1"/>
        <v>0.41025641025641024</v>
      </c>
    </row>
    <row r="11" spans="1:14">
      <c r="A11" s="2" t="s">
        <v>36</v>
      </c>
      <c r="B11" s="3">
        <v>45954</v>
      </c>
      <c r="C11" s="2" t="s">
        <v>26</v>
      </c>
      <c r="D11" s="2" t="s">
        <v>23</v>
      </c>
      <c r="E11" s="2" t="s">
        <v>20</v>
      </c>
      <c r="F11" s="2" t="s">
        <v>101</v>
      </c>
      <c r="G11" s="2" t="s">
        <v>104</v>
      </c>
      <c r="H11" s="2" t="s">
        <v>102</v>
      </c>
      <c r="I11" s="2">
        <v>3</v>
      </c>
      <c r="J11" s="4">
        <v>700</v>
      </c>
      <c r="K11" s="5">
        <v>0.03</v>
      </c>
      <c r="L11" s="4">
        <f t="shared" si="0"/>
        <v>2037</v>
      </c>
      <c r="M11" s="4">
        <v>1160000</v>
      </c>
      <c r="N11" s="5">
        <f t="shared" si="1"/>
        <v>1.7560344827586207E-3</v>
      </c>
    </row>
    <row r="12" spans="1:14">
      <c r="A12" s="2" t="s">
        <v>37</v>
      </c>
      <c r="B12" s="3">
        <v>45970</v>
      </c>
      <c r="C12" s="2" t="s">
        <v>29</v>
      </c>
      <c r="D12" s="2" t="s">
        <v>30</v>
      </c>
      <c r="E12" s="2" t="s">
        <v>24</v>
      </c>
      <c r="F12" s="2" t="s">
        <v>99</v>
      </c>
      <c r="G12" s="2" t="s">
        <v>103</v>
      </c>
      <c r="H12" s="2" t="s">
        <v>100</v>
      </c>
      <c r="I12" s="2">
        <v>4</v>
      </c>
      <c r="J12" s="4">
        <v>240000</v>
      </c>
      <c r="K12" s="5">
        <v>0.05</v>
      </c>
      <c r="L12" s="4">
        <f t="shared" si="0"/>
        <v>912000</v>
      </c>
      <c r="M12" s="4">
        <v>1270000</v>
      </c>
      <c r="N12" s="5">
        <f t="shared" si="1"/>
        <v>0.71811023622047243</v>
      </c>
    </row>
    <row r="13" spans="1:14">
      <c r="A13" s="2" t="s">
        <v>38</v>
      </c>
      <c r="B13" s="3">
        <v>46007</v>
      </c>
      <c r="C13" s="2" t="s">
        <v>32</v>
      </c>
      <c r="D13" s="2" t="s">
        <v>30</v>
      </c>
      <c r="E13" s="2" t="s">
        <v>27</v>
      </c>
      <c r="F13" s="2" t="s">
        <v>101</v>
      </c>
      <c r="G13" s="2" t="s">
        <v>104</v>
      </c>
      <c r="H13" s="2" t="s">
        <v>102</v>
      </c>
      <c r="I13" s="2">
        <v>5</v>
      </c>
      <c r="J13" s="4">
        <v>700</v>
      </c>
      <c r="K13" s="5">
        <v>0.08</v>
      </c>
      <c r="L13" s="4">
        <f t="shared" si="0"/>
        <v>3220</v>
      </c>
      <c r="M13" s="4">
        <v>1380000</v>
      </c>
      <c r="N13" s="5">
        <f t="shared" si="1"/>
        <v>2.3333333333333335E-3</v>
      </c>
    </row>
    <row r="14" spans="1:14">
      <c r="A14" s="2" t="s">
        <v>39</v>
      </c>
      <c r="B14" s="3">
        <v>45680</v>
      </c>
      <c r="C14" s="2" t="s">
        <v>15</v>
      </c>
      <c r="D14" s="2" t="s">
        <v>16</v>
      </c>
      <c r="E14" s="2" t="s">
        <v>17</v>
      </c>
      <c r="F14" s="2" t="s">
        <v>101</v>
      </c>
      <c r="G14" s="2" t="s">
        <v>104</v>
      </c>
      <c r="H14" s="2" t="s">
        <v>102</v>
      </c>
      <c r="I14" s="2">
        <v>6</v>
      </c>
      <c r="J14" s="4">
        <v>700</v>
      </c>
      <c r="K14" s="5">
        <v>0</v>
      </c>
      <c r="L14" s="4">
        <f t="shared" si="0"/>
        <v>4200</v>
      </c>
      <c r="M14" s="4">
        <v>950000</v>
      </c>
      <c r="N14" s="5">
        <f t="shared" si="1"/>
        <v>4.4210526315789471E-3</v>
      </c>
    </row>
    <row r="15" spans="1:14">
      <c r="A15" s="2" t="s">
        <v>40</v>
      </c>
      <c r="B15" s="3">
        <v>45696</v>
      </c>
      <c r="C15" s="2" t="s">
        <v>19</v>
      </c>
      <c r="D15" s="2" t="s">
        <v>16</v>
      </c>
      <c r="E15" s="2" t="s">
        <v>20</v>
      </c>
      <c r="F15" s="2" t="s">
        <v>99</v>
      </c>
      <c r="G15" s="2" t="s">
        <v>103</v>
      </c>
      <c r="H15" s="2" t="s">
        <v>100</v>
      </c>
      <c r="I15" s="2">
        <v>7</v>
      </c>
      <c r="J15" s="4">
        <v>240000</v>
      </c>
      <c r="K15" s="5">
        <v>0.03</v>
      </c>
      <c r="L15" s="4">
        <f t="shared" si="0"/>
        <v>1629600</v>
      </c>
      <c r="M15" s="4">
        <v>1060000</v>
      </c>
      <c r="N15" s="5">
        <f t="shared" si="1"/>
        <v>1.5373584905660378</v>
      </c>
    </row>
    <row r="16" spans="1:14">
      <c r="A16" s="2" t="s">
        <v>41</v>
      </c>
      <c r="B16" s="3">
        <v>45731</v>
      </c>
      <c r="C16" s="2" t="s">
        <v>22</v>
      </c>
      <c r="D16" s="2" t="s">
        <v>23</v>
      </c>
      <c r="E16" s="2" t="s">
        <v>24</v>
      </c>
      <c r="F16" s="2" t="s">
        <v>101</v>
      </c>
      <c r="G16" s="2" t="s">
        <v>104</v>
      </c>
      <c r="H16" s="2" t="s">
        <v>102</v>
      </c>
      <c r="I16" s="2">
        <v>1</v>
      </c>
      <c r="J16" s="4">
        <v>700</v>
      </c>
      <c r="K16" s="5">
        <v>0.05</v>
      </c>
      <c r="L16" s="4">
        <f t="shared" si="0"/>
        <v>665</v>
      </c>
      <c r="M16" s="4">
        <v>1170000</v>
      </c>
      <c r="N16" s="5">
        <f t="shared" si="1"/>
        <v>5.6837606837606836E-4</v>
      </c>
    </row>
    <row r="17" spans="1:14">
      <c r="A17" s="2" t="s">
        <v>42</v>
      </c>
      <c r="B17" s="3">
        <v>45769</v>
      </c>
      <c r="C17" s="2" t="s">
        <v>26</v>
      </c>
      <c r="D17" s="2" t="s">
        <v>23</v>
      </c>
      <c r="E17" s="2" t="s">
        <v>27</v>
      </c>
      <c r="F17" s="2" t="s">
        <v>99</v>
      </c>
      <c r="G17" s="2" t="s">
        <v>103</v>
      </c>
      <c r="H17" s="2" t="s">
        <v>100</v>
      </c>
      <c r="I17" s="2">
        <v>2</v>
      </c>
      <c r="J17" s="4">
        <v>240000</v>
      </c>
      <c r="K17" s="5">
        <v>0.08</v>
      </c>
      <c r="L17" s="4">
        <f t="shared" si="0"/>
        <v>441600</v>
      </c>
      <c r="M17" s="4">
        <v>1160000</v>
      </c>
      <c r="N17" s="5">
        <f t="shared" si="1"/>
        <v>0.38068965517241377</v>
      </c>
    </row>
    <row r="18" spans="1:14">
      <c r="A18" s="2" t="s">
        <v>43</v>
      </c>
      <c r="B18" s="3">
        <v>45784</v>
      </c>
      <c r="C18" s="2" t="s">
        <v>29</v>
      </c>
      <c r="D18" s="2" t="s">
        <v>30</v>
      </c>
      <c r="E18" s="2" t="s">
        <v>17</v>
      </c>
      <c r="F18" s="2" t="s">
        <v>99</v>
      </c>
      <c r="G18" s="2" t="s">
        <v>103</v>
      </c>
      <c r="H18" s="2" t="s">
        <v>100</v>
      </c>
      <c r="I18" s="2">
        <v>3</v>
      </c>
      <c r="J18" s="4">
        <v>240000</v>
      </c>
      <c r="K18" s="5">
        <v>0</v>
      </c>
      <c r="L18" s="4">
        <f t="shared" si="0"/>
        <v>720000</v>
      </c>
      <c r="M18" s="4">
        <v>1270000</v>
      </c>
      <c r="N18" s="5">
        <f t="shared" si="1"/>
        <v>0.56692913385826771</v>
      </c>
    </row>
    <row r="19" spans="1:14">
      <c r="A19" s="2" t="s">
        <v>44</v>
      </c>
      <c r="B19" s="3">
        <v>45822</v>
      </c>
      <c r="C19" s="2" t="s">
        <v>32</v>
      </c>
      <c r="D19" s="2" t="s">
        <v>30</v>
      </c>
      <c r="E19" s="2" t="s">
        <v>20</v>
      </c>
      <c r="F19" s="2" t="s">
        <v>101</v>
      </c>
      <c r="G19" s="2" t="s">
        <v>104</v>
      </c>
      <c r="H19" s="2" t="s">
        <v>102</v>
      </c>
      <c r="I19" s="2">
        <v>4</v>
      </c>
      <c r="J19" s="4">
        <v>700</v>
      </c>
      <c r="K19" s="5">
        <v>0.03</v>
      </c>
      <c r="L19" s="4">
        <f t="shared" si="0"/>
        <v>2716</v>
      </c>
      <c r="M19" s="4">
        <v>1380000</v>
      </c>
      <c r="N19" s="5">
        <f t="shared" si="1"/>
        <v>1.9681159420289855E-3</v>
      </c>
    </row>
    <row r="20" spans="1:14">
      <c r="A20" s="2" t="s">
        <v>45</v>
      </c>
      <c r="B20" s="3">
        <v>45859</v>
      </c>
      <c r="C20" s="2" t="s">
        <v>15</v>
      </c>
      <c r="D20" s="2" t="s">
        <v>16</v>
      </c>
      <c r="E20" s="2" t="s">
        <v>24</v>
      </c>
      <c r="F20" s="2" t="s">
        <v>99</v>
      </c>
      <c r="G20" s="2" t="s">
        <v>103</v>
      </c>
      <c r="H20" s="2" t="s">
        <v>100</v>
      </c>
      <c r="I20" s="2">
        <v>5</v>
      </c>
      <c r="J20" s="4">
        <v>240000</v>
      </c>
      <c r="K20" s="5">
        <v>0.05</v>
      </c>
      <c r="L20" s="4">
        <f t="shared" si="0"/>
        <v>1140000</v>
      </c>
      <c r="M20" s="4">
        <v>950000</v>
      </c>
      <c r="N20" s="5">
        <f t="shared" si="1"/>
        <v>1.2</v>
      </c>
    </row>
    <row r="21" spans="1:14">
      <c r="A21" s="2" t="s">
        <v>46</v>
      </c>
      <c r="B21" s="3">
        <v>45875</v>
      </c>
      <c r="C21" s="2" t="s">
        <v>19</v>
      </c>
      <c r="D21" s="2" t="s">
        <v>16</v>
      </c>
      <c r="E21" s="2" t="s">
        <v>27</v>
      </c>
      <c r="F21" s="2" t="s">
        <v>101</v>
      </c>
      <c r="G21" s="2" t="s">
        <v>104</v>
      </c>
      <c r="H21" s="2" t="s">
        <v>102</v>
      </c>
      <c r="I21" s="2">
        <v>6</v>
      </c>
      <c r="J21" s="4">
        <v>700</v>
      </c>
      <c r="K21" s="5">
        <v>0.08</v>
      </c>
      <c r="L21" s="4">
        <f t="shared" si="0"/>
        <v>3864</v>
      </c>
      <c r="M21" s="4">
        <v>1060000</v>
      </c>
      <c r="N21" s="5">
        <f t="shared" si="1"/>
        <v>3.6452830188679246E-3</v>
      </c>
    </row>
    <row r="22" spans="1:14">
      <c r="A22" s="2" t="s">
        <v>47</v>
      </c>
      <c r="B22" s="3">
        <v>45913</v>
      </c>
      <c r="C22" s="2" t="s">
        <v>22</v>
      </c>
      <c r="D22" s="2" t="s">
        <v>23</v>
      </c>
      <c r="E22" s="2" t="s">
        <v>17</v>
      </c>
      <c r="F22" s="2" t="s">
        <v>101</v>
      </c>
      <c r="G22" s="2" t="s">
        <v>104</v>
      </c>
      <c r="H22" s="2" t="s">
        <v>102</v>
      </c>
      <c r="I22" s="2">
        <v>7</v>
      </c>
      <c r="J22" s="4">
        <v>700</v>
      </c>
      <c r="K22" s="5">
        <v>0</v>
      </c>
      <c r="L22" s="4">
        <f t="shared" si="0"/>
        <v>4900</v>
      </c>
      <c r="M22" s="4">
        <v>1170000</v>
      </c>
      <c r="N22" s="5">
        <f t="shared" si="1"/>
        <v>4.1880341880341882E-3</v>
      </c>
    </row>
    <row r="23" spans="1:14">
      <c r="A23" s="2" t="s">
        <v>48</v>
      </c>
      <c r="B23" s="3">
        <v>45950</v>
      </c>
      <c r="C23" s="2" t="s">
        <v>26</v>
      </c>
      <c r="D23" s="2" t="s">
        <v>23</v>
      </c>
      <c r="E23" s="2" t="s">
        <v>20</v>
      </c>
      <c r="F23" s="2" t="s">
        <v>99</v>
      </c>
      <c r="G23" s="2" t="s">
        <v>103</v>
      </c>
      <c r="H23" s="2" t="s">
        <v>100</v>
      </c>
      <c r="I23" s="2">
        <v>1</v>
      </c>
      <c r="J23" s="4">
        <v>240000</v>
      </c>
      <c r="K23" s="5">
        <v>0.03</v>
      </c>
      <c r="L23" s="4">
        <f t="shared" si="0"/>
        <v>232800</v>
      </c>
      <c r="M23" s="4">
        <v>1160000</v>
      </c>
      <c r="N23" s="5">
        <f t="shared" si="1"/>
        <v>0.2006896551724138</v>
      </c>
    </row>
    <row r="24" spans="1:14">
      <c r="A24" s="2" t="s">
        <v>49</v>
      </c>
      <c r="B24" s="3">
        <v>45966</v>
      </c>
      <c r="C24" s="2" t="s">
        <v>29</v>
      </c>
      <c r="D24" s="2" t="s">
        <v>30</v>
      </c>
      <c r="E24" s="2" t="s">
        <v>24</v>
      </c>
      <c r="F24" s="2" t="s">
        <v>101</v>
      </c>
      <c r="G24" s="2" t="s">
        <v>104</v>
      </c>
      <c r="H24" s="2" t="s">
        <v>102</v>
      </c>
      <c r="I24" s="2">
        <v>2</v>
      </c>
      <c r="J24" s="4">
        <v>700</v>
      </c>
      <c r="K24" s="5">
        <v>0.05</v>
      </c>
      <c r="L24" s="4">
        <f t="shared" si="0"/>
        <v>1330</v>
      </c>
      <c r="M24" s="4">
        <v>1270000</v>
      </c>
      <c r="N24" s="5">
        <f t="shared" si="1"/>
        <v>1.0472440944881889E-3</v>
      </c>
    </row>
    <row r="25" spans="1:14">
      <c r="A25" s="2" t="s">
        <v>50</v>
      </c>
      <c r="B25" s="3">
        <v>46003</v>
      </c>
      <c r="C25" s="2" t="s">
        <v>32</v>
      </c>
      <c r="D25" s="2" t="s">
        <v>30</v>
      </c>
      <c r="E25" s="2" t="s">
        <v>27</v>
      </c>
      <c r="F25" s="2" t="s">
        <v>99</v>
      </c>
      <c r="G25" s="2" t="s">
        <v>103</v>
      </c>
      <c r="H25" s="2" t="s">
        <v>100</v>
      </c>
      <c r="I25" s="2">
        <v>3</v>
      </c>
      <c r="J25" s="4">
        <v>240000</v>
      </c>
      <c r="K25" s="5">
        <v>0.08</v>
      </c>
      <c r="L25" s="4">
        <f t="shared" si="0"/>
        <v>662400</v>
      </c>
      <c r="M25" s="4">
        <v>1380000</v>
      </c>
      <c r="N25" s="5">
        <f t="shared" si="1"/>
        <v>0.48</v>
      </c>
    </row>
    <row r="26" spans="1:14">
      <c r="A26" s="2" t="s">
        <v>51</v>
      </c>
      <c r="B26" s="3">
        <v>45676</v>
      </c>
      <c r="C26" s="2" t="s">
        <v>15</v>
      </c>
      <c r="D26" s="2" t="s">
        <v>16</v>
      </c>
      <c r="E26" s="2" t="s">
        <v>17</v>
      </c>
      <c r="F26" s="2" t="s">
        <v>99</v>
      </c>
      <c r="G26" s="2" t="s">
        <v>103</v>
      </c>
      <c r="H26" s="2" t="s">
        <v>100</v>
      </c>
      <c r="I26" s="2">
        <v>4</v>
      </c>
      <c r="J26" s="4">
        <v>240000</v>
      </c>
      <c r="K26" s="5">
        <v>0</v>
      </c>
      <c r="L26" s="4">
        <f t="shared" si="0"/>
        <v>960000</v>
      </c>
      <c r="M26" s="4">
        <v>950000</v>
      </c>
      <c r="N26" s="5">
        <f t="shared" si="1"/>
        <v>1.0105263157894737</v>
      </c>
    </row>
    <row r="27" spans="1:14">
      <c r="A27" s="2" t="s">
        <v>52</v>
      </c>
      <c r="B27" s="3">
        <v>45714</v>
      </c>
      <c r="C27" s="2" t="s">
        <v>19</v>
      </c>
      <c r="D27" s="2" t="s">
        <v>16</v>
      </c>
      <c r="E27" s="2" t="s">
        <v>20</v>
      </c>
      <c r="F27" s="2" t="s">
        <v>101</v>
      </c>
      <c r="G27" s="2" t="s">
        <v>104</v>
      </c>
      <c r="H27" s="2" t="s">
        <v>102</v>
      </c>
      <c r="I27" s="2">
        <v>5</v>
      </c>
      <c r="J27" s="4">
        <v>700</v>
      </c>
      <c r="K27" s="5">
        <v>0.03</v>
      </c>
      <c r="L27" s="4">
        <f t="shared" si="0"/>
        <v>3395</v>
      </c>
      <c r="M27" s="4">
        <v>1060000</v>
      </c>
      <c r="N27" s="5">
        <f t="shared" si="1"/>
        <v>3.2028301886792452E-3</v>
      </c>
    </row>
    <row r="28" spans="1:14">
      <c r="A28" s="2" t="s">
        <v>53</v>
      </c>
      <c r="B28" s="3">
        <v>45727</v>
      </c>
      <c r="C28" s="2" t="s">
        <v>22</v>
      </c>
      <c r="D28" s="2" t="s">
        <v>23</v>
      </c>
      <c r="E28" s="2" t="s">
        <v>24</v>
      </c>
      <c r="F28" s="2" t="s">
        <v>99</v>
      </c>
      <c r="G28" s="2" t="s">
        <v>103</v>
      </c>
      <c r="H28" s="2" t="s">
        <v>100</v>
      </c>
      <c r="I28" s="2">
        <v>6</v>
      </c>
      <c r="J28" s="4">
        <v>240000</v>
      </c>
      <c r="K28" s="5">
        <v>0.05</v>
      </c>
      <c r="L28" s="4">
        <f t="shared" si="0"/>
        <v>1368000</v>
      </c>
      <c r="M28" s="4">
        <v>1170000</v>
      </c>
      <c r="N28" s="5">
        <f t="shared" si="1"/>
        <v>1.1692307692307693</v>
      </c>
    </row>
    <row r="29" spans="1:14">
      <c r="A29" s="2" t="s">
        <v>54</v>
      </c>
      <c r="B29" s="3">
        <v>45765</v>
      </c>
      <c r="C29" s="2" t="s">
        <v>26</v>
      </c>
      <c r="D29" s="2" t="s">
        <v>23</v>
      </c>
      <c r="E29" s="2" t="s">
        <v>27</v>
      </c>
      <c r="F29" s="2" t="s">
        <v>101</v>
      </c>
      <c r="G29" s="2" t="s">
        <v>104</v>
      </c>
      <c r="H29" s="2" t="s">
        <v>102</v>
      </c>
      <c r="I29" s="2">
        <v>7</v>
      </c>
      <c r="J29" s="4">
        <v>700</v>
      </c>
      <c r="K29" s="5">
        <v>0.08</v>
      </c>
      <c r="L29" s="4">
        <f t="shared" si="0"/>
        <v>4508</v>
      </c>
      <c r="M29" s="4">
        <v>1160000</v>
      </c>
      <c r="N29" s="5">
        <f t="shared" si="1"/>
        <v>3.886206896551724E-3</v>
      </c>
    </row>
    <row r="30" spans="1:14">
      <c r="A30" s="2" t="s">
        <v>55</v>
      </c>
      <c r="B30" s="3">
        <v>45802</v>
      </c>
      <c r="C30" s="2" t="s">
        <v>29</v>
      </c>
      <c r="D30" s="2" t="s">
        <v>30</v>
      </c>
      <c r="E30" s="2" t="s">
        <v>17</v>
      </c>
      <c r="F30" s="2" t="s">
        <v>101</v>
      </c>
      <c r="G30" s="2" t="s">
        <v>104</v>
      </c>
      <c r="H30" s="2" t="s">
        <v>102</v>
      </c>
      <c r="I30" s="2">
        <v>1</v>
      </c>
      <c r="J30" s="4">
        <v>700</v>
      </c>
      <c r="K30" s="5">
        <v>0</v>
      </c>
      <c r="L30" s="4">
        <f t="shared" si="0"/>
        <v>700</v>
      </c>
      <c r="M30" s="4">
        <v>1270000</v>
      </c>
      <c r="N30" s="5">
        <f t="shared" si="1"/>
        <v>5.5118110236220474E-4</v>
      </c>
    </row>
    <row r="31" spans="1:14">
      <c r="A31" s="2" t="s">
        <v>56</v>
      </c>
      <c r="B31" s="3">
        <v>45818</v>
      </c>
      <c r="C31" s="2" t="s">
        <v>32</v>
      </c>
      <c r="D31" s="2" t="s">
        <v>30</v>
      </c>
      <c r="E31" s="2" t="s">
        <v>20</v>
      </c>
      <c r="F31" s="2" t="s">
        <v>99</v>
      </c>
      <c r="G31" s="2" t="s">
        <v>103</v>
      </c>
      <c r="H31" s="2" t="s">
        <v>100</v>
      </c>
      <c r="I31" s="2">
        <v>2</v>
      </c>
      <c r="J31" s="4">
        <v>240000</v>
      </c>
      <c r="K31" s="5">
        <v>0.03</v>
      </c>
      <c r="L31" s="4">
        <f t="shared" si="0"/>
        <v>465600</v>
      </c>
      <c r="M31" s="4">
        <v>1380000</v>
      </c>
      <c r="N31" s="5">
        <f t="shared" si="1"/>
        <v>0.3373913043478261</v>
      </c>
    </row>
    <row r="32" spans="1:14">
      <c r="A32" s="2" t="s">
        <v>57</v>
      </c>
      <c r="B32" s="3">
        <v>45855</v>
      </c>
      <c r="C32" s="2" t="s">
        <v>15</v>
      </c>
      <c r="D32" s="2" t="s">
        <v>16</v>
      </c>
      <c r="E32" s="2" t="s">
        <v>24</v>
      </c>
      <c r="F32" s="2" t="s">
        <v>101</v>
      </c>
      <c r="G32" s="2" t="s">
        <v>104</v>
      </c>
      <c r="H32" s="2" t="s">
        <v>102</v>
      </c>
      <c r="I32" s="2">
        <v>3</v>
      </c>
      <c r="J32" s="4">
        <v>700</v>
      </c>
      <c r="K32" s="5">
        <v>0.05</v>
      </c>
      <c r="L32" s="4">
        <f t="shared" si="0"/>
        <v>1995</v>
      </c>
      <c r="M32" s="4">
        <v>950000</v>
      </c>
      <c r="N32" s="5">
        <f t="shared" si="1"/>
        <v>2.0999999999999999E-3</v>
      </c>
    </row>
    <row r="33" spans="1:14">
      <c r="A33" s="2" t="s">
        <v>58</v>
      </c>
      <c r="B33" s="3">
        <v>45893</v>
      </c>
      <c r="C33" s="2" t="s">
        <v>19</v>
      </c>
      <c r="D33" s="2" t="s">
        <v>16</v>
      </c>
      <c r="E33" s="2" t="s">
        <v>27</v>
      </c>
      <c r="F33" s="2" t="s">
        <v>99</v>
      </c>
      <c r="G33" s="2" t="s">
        <v>103</v>
      </c>
      <c r="H33" s="2" t="s">
        <v>100</v>
      </c>
      <c r="I33" s="2">
        <v>4</v>
      </c>
      <c r="J33" s="4">
        <v>240000</v>
      </c>
      <c r="K33" s="5">
        <v>0.08</v>
      </c>
      <c r="L33" s="4">
        <f t="shared" si="0"/>
        <v>883200</v>
      </c>
      <c r="M33" s="4">
        <v>1060000</v>
      </c>
      <c r="N33" s="5">
        <f t="shared" si="1"/>
        <v>0.83320754716981127</v>
      </c>
    </row>
    <row r="34" spans="1:14">
      <c r="A34" s="2" t="s">
        <v>59</v>
      </c>
      <c r="B34" s="3">
        <v>45909</v>
      </c>
      <c r="C34" s="2" t="s">
        <v>22</v>
      </c>
      <c r="D34" s="2" t="s">
        <v>23</v>
      </c>
      <c r="E34" s="2" t="s">
        <v>17</v>
      </c>
      <c r="F34" s="2" t="s">
        <v>99</v>
      </c>
      <c r="G34" s="2" t="s">
        <v>103</v>
      </c>
      <c r="H34" s="2" t="s">
        <v>100</v>
      </c>
      <c r="I34" s="2">
        <v>5</v>
      </c>
      <c r="J34" s="4">
        <v>240000</v>
      </c>
      <c r="K34" s="5">
        <v>0</v>
      </c>
      <c r="L34" s="4">
        <f t="shared" ref="L34:L65" si="2">I34*J34*(1-K34)</f>
        <v>1200000</v>
      </c>
      <c r="M34" s="4">
        <v>1170000</v>
      </c>
      <c r="N34" s="5">
        <f t="shared" ref="N34:N65" si="3">L34/M34</f>
        <v>1.0256410256410255</v>
      </c>
    </row>
    <row r="35" spans="1:14">
      <c r="A35" s="2" t="s">
        <v>60</v>
      </c>
      <c r="B35" s="3">
        <v>45946</v>
      </c>
      <c r="C35" s="2" t="s">
        <v>26</v>
      </c>
      <c r="D35" s="2" t="s">
        <v>23</v>
      </c>
      <c r="E35" s="2" t="s">
        <v>20</v>
      </c>
      <c r="F35" s="2" t="s">
        <v>101</v>
      </c>
      <c r="G35" s="2" t="s">
        <v>104</v>
      </c>
      <c r="H35" s="2" t="s">
        <v>102</v>
      </c>
      <c r="I35" s="2">
        <v>6</v>
      </c>
      <c r="J35" s="4">
        <v>700</v>
      </c>
      <c r="K35" s="5">
        <v>0.03</v>
      </c>
      <c r="L35" s="4">
        <f t="shared" si="2"/>
        <v>4074</v>
      </c>
      <c r="M35" s="4">
        <v>1160000</v>
      </c>
      <c r="N35" s="5">
        <f t="shared" si="3"/>
        <v>3.5120689655172414E-3</v>
      </c>
    </row>
    <row r="36" spans="1:14">
      <c r="A36" s="2" t="s">
        <v>61</v>
      </c>
      <c r="B36" s="3">
        <v>45984</v>
      </c>
      <c r="C36" s="2" t="s">
        <v>29</v>
      </c>
      <c r="D36" s="2" t="s">
        <v>30</v>
      </c>
      <c r="E36" s="2" t="s">
        <v>24</v>
      </c>
      <c r="F36" s="2" t="s">
        <v>99</v>
      </c>
      <c r="G36" s="2" t="s">
        <v>103</v>
      </c>
      <c r="H36" s="2" t="s">
        <v>100</v>
      </c>
      <c r="I36" s="2">
        <v>7</v>
      </c>
      <c r="J36" s="4">
        <v>240000</v>
      </c>
      <c r="K36" s="5">
        <v>0.05</v>
      </c>
      <c r="L36" s="4">
        <f t="shared" si="2"/>
        <v>1596000</v>
      </c>
      <c r="M36" s="4">
        <v>1270000</v>
      </c>
      <c r="N36" s="5">
        <f t="shared" si="3"/>
        <v>1.2566929133858267</v>
      </c>
    </row>
    <row r="37" spans="1:14">
      <c r="A37" s="2" t="s">
        <v>62</v>
      </c>
      <c r="B37" s="3">
        <v>45999</v>
      </c>
      <c r="C37" s="2" t="s">
        <v>32</v>
      </c>
      <c r="D37" s="2" t="s">
        <v>30</v>
      </c>
      <c r="E37" s="2" t="s">
        <v>27</v>
      </c>
      <c r="F37" s="2" t="s">
        <v>101</v>
      </c>
      <c r="G37" s="2" t="s">
        <v>104</v>
      </c>
      <c r="H37" s="2" t="s">
        <v>102</v>
      </c>
      <c r="I37" s="2">
        <v>1</v>
      </c>
      <c r="J37" s="4">
        <v>700</v>
      </c>
      <c r="K37" s="5">
        <v>0.08</v>
      </c>
      <c r="L37" s="4">
        <f t="shared" si="2"/>
        <v>644</v>
      </c>
      <c r="M37" s="4">
        <v>1380000</v>
      </c>
      <c r="N37" s="5">
        <f t="shared" si="3"/>
        <v>4.6666666666666666E-4</v>
      </c>
    </row>
    <row r="38" spans="1:14">
      <c r="A38" s="2" t="s">
        <v>63</v>
      </c>
      <c r="B38" s="3">
        <v>45672</v>
      </c>
      <c r="C38" s="2" t="s">
        <v>15</v>
      </c>
      <c r="D38" s="2" t="s">
        <v>16</v>
      </c>
      <c r="E38" s="2" t="s">
        <v>17</v>
      </c>
      <c r="F38" s="2" t="s">
        <v>101</v>
      </c>
      <c r="G38" s="2" t="s">
        <v>104</v>
      </c>
      <c r="H38" s="2" t="s">
        <v>102</v>
      </c>
      <c r="I38" s="2">
        <v>2</v>
      </c>
      <c r="J38" s="4">
        <v>700</v>
      </c>
      <c r="K38" s="5">
        <v>0</v>
      </c>
      <c r="L38" s="4">
        <f t="shared" si="2"/>
        <v>1400</v>
      </c>
      <c r="M38" s="4">
        <v>950000</v>
      </c>
      <c r="N38" s="5">
        <f t="shared" si="3"/>
        <v>1.4736842105263158E-3</v>
      </c>
    </row>
    <row r="39" spans="1:14">
      <c r="A39" s="2" t="s">
        <v>64</v>
      </c>
      <c r="B39" s="3">
        <v>45710</v>
      </c>
      <c r="C39" s="2" t="s">
        <v>19</v>
      </c>
      <c r="D39" s="2" t="s">
        <v>16</v>
      </c>
      <c r="E39" s="2" t="s">
        <v>20</v>
      </c>
      <c r="F39" s="2" t="s">
        <v>99</v>
      </c>
      <c r="G39" s="2" t="s">
        <v>103</v>
      </c>
      <c r="H39" s="2" t="s">
        <v>100</v>
      </c>
      <c r="I39" s="2">
        <v>3</v>
      </c>
      <c r="J39" s="4">
        <v>240000</v>
      </c>
      <c r="K39" s="5">
        <v>0.03</v>
      </c>
      <c r="L39" s="4">
        <f t="shared" si="2"/>
        <v>698400</v>
      </c>
      <c r="M39" s="4">
        <v>1060000</v>
      </c>
      <c r="N39" s="5">
        <f t="shared" si="3"/>
        <v>0.6588679245283019</v>
      </c>
    </row>
    <row r="40" spans="1:14">
      <c r="A40" s="2" t="s">
        <v>65</v>
      </c>
      <c r="B40" s="3">
        <v>45723</v>
      </c>
      <c r="C40" s="2" t="s">
        <v>22</v>
      </c>
      <c r="D40" s="2" t="s">
        <v>23</v>
      </c>
      <c r="E40" s="2" t="s">
        <v>24</v>
      </c>
      <c r="F40" s="2" t="s">
        <v>101</v>
      </c>
      <c r="G40" s="2" t="s">
        <v>104</v>
      </c>
      <c r="H40" s="2" t="s">
        <v>102</v>
      </c>
      <c r="I40" s="2">
        <v>4</v>
      </c>
      <c r="J40" s="4">
        <v>700</v>
      </c>
      <c r="K40" s="5">
        <v>0.05</v>
      </c>
      <c r="L40" s="4">
        <f t="shared" si="2"/>
        <v>2660</v>
      </c>
      <c r="M40" s="4">
        <v>1170000</v>
      </c>
      <c r="N40" s="5">
        <f t="shared" si="3"/>
        <v>2.2735042735042735E-3</v>
      </c>
    </row>
    <row r="41" spans="1:14">
      <c r="A41" s="2" t="s">
        <v>66</v>
      </c>
      <c r="B41" s="3">
        <v>45761</v>
      </c>
      <c r="C41" s="2" t="s">
        <v>26</v>
      </c>
      <c r="D41" s="2" t="s">
        <v>23</v>
      </c>
      <c r="E41" s="2" t="s">
        <v>27</v>
      </c>
      <c r="F41" s="2" t="s">
        <v>99</v>
      </c>
      <c r="G41" s="2" t="s">
        <v>103</v>
      </c>
      <c r="H41" s="2" t="s">
        <v>100</v>
      </c>
      <c r="I41" s="2">
        <v>5</v>
      </c>
      <c r="J41" s="4">
        <v>240000</v>
      </c>
      <c r="K41" s="5">
        <v>0.08</v>
      </c>
      <c r="L41" s="4">
        <f t="shared" si="2"/>
        <v>1104000</v>
      </c>
      <c r="M41" s="4">
        <v>1160000</v>
      </c>
      <c r="N41" s="5">
        <f t="shared" si="3"/>
        <v>0.9517241379310345</v>
      </c>
    </row>
    <row r="42" spans="1:14">
      <c r="A42" s="2" t="s">
        <v>67</v>
      </c>
      <c r="B42" s="3">
        <v>45798</v>
      </c>
      <c r="C42" s="2" t="s">
        <v>29</v>
      </c>
      <c r="D42" s="2" t="s">
        <v>30</v>
      </c>
      <c r="E42" s="2" t="s">
        <v>17</v>
      </c>
      <c r="F42" s="2" t="s">
        <v>99</v>
      </c>
      <c r="G42" s="2" t="s">
        <v>103</v>
      </c>
      <c r="H42" s="2" t="s">
        <v>100</v>
      </c>
      <c r="I42" s="2">
        <v>6</v>
      </c>
      <c r="J42" s="4">
        <v>240000</v>
      </c>
      <c r="K42" s="5">
        <v>0</v>
      </c>
      <c r="L42" s="4">
        <f t="shared" si="2"/>
        <v>1440000</v>
      </c>
      <c r="M42" s="4">
        <v>1270000</v>
      </c>
      <c r="N42" s="5">
        <f t="shared" si="3"/>
        <v>1.1338582677165354</v>
      </c>
    </row>
    <row r="43" spans="1:14">
      <c r="A43" s="2" t="s">
        <v>68</v>
      </c>
      <c r="B43" s="3">
        <v>45814</v>
      </c>
      <c r="C43" s="2" t="s">
        <v>32</v>
      </c>
      <c r="D43" s="2" t="s">
        <v>30</v>
      </c>
      <c r="E43" s="2" t="s">
        <v>20</v>
      </c>
      <c r="F43" s="2" t="s">
        <v>101</v>
      </c>
      <c r="G43" s="2" t="s">
        <v>104</v>
      </c>
      <c r="H43" s="2" t="s">
        <v>102</v>
      </c>
      <c r="I43" s="2">
        <v>7</v>
      </c>
      <c r="J43" s="4">
        <v>700</v>
      </c>
      <c r="K43" s="5">
        <v>0.03</v>
      </c>
      <c r="L43" s="4">
        <f t="shared" si="2"/>
        <v>4753</v>
      </c>
      <c r="M43" s="4">
        <v>1380000</v>
      </c>
      <c r="N43" s="5">
        <f t="shared" si="3"/>
        <v>3.4442028985507247E-3</v>
      </c>
    </row>
    <row r="44" spans="1:14">
      <c r="A44" s="2" t="s">
        <v>69</v>
      </c>
      <c r="B44" s="3">
        <v>45851</v>
      </c>
      <c r="C44" s="2" t="s">
        <v>15</v>
      </c>
      <c r="D44" s="2" t="s">
        <v>16</v>
      </c>
      <c r="E44" s="2" t="s">
        <v>24</v>
      </c>
      <c r="F44" s="2" t="s">
        <v>99</v>
      </c>
      <c r="G44" s="2" t="s">
        <v>103</v>
      </c>
      <c r="H44" s="2" t="s">
        <v>100</v>
      </c>
      <c r="I44" s="2">
        <v>1</v>
      </c>
      <c r="J44" s="4">
        <v>240000</v>
      </c>
      <c r="K44" s="5">
        <v>0.05</v>
      </c>
      <c r="L44" s="4">
        <f t="shared" si="2"/>
        <v>228000</v>
      </c>
      <c r="M44" s="4">
        <v>950000</v>
      </c>
      <c r="N44" s="5">
        <f t="shared" si="3"/>
        <v>0.24</v>
      </c>
    </row>
    <row r="45" spans="1:14">
      <c r="A45" s="2" t="s">
        <v>70</v>
      </c>
      <c r="B45" s="3">
        <v>45889</v>
      </c>
      <c r="C45" s="2" t="s">
        <v>19</v>
      </c>
      <c r="D45" s="2" t="s">
        <v>16</v>
      </c>
      <c r="E45" s="2" t="s">
        <v>27</v>
      </c>
      <c r="F45" s="2" t="s">
        <v>101</v>
      </c>
      <c r="G45" s="2" t="s">
        <v>104</v>
      </c>
      <c r="H45" s="2" t="s">
        <v>102</v>
      </c>
      <c r="I45" s="2">
        <v>2</v>
      </c>
      <c r="J45" s="4">
        <v>700</v>
      </c>
      <c r="K45" s="5">
        <v>0.08</v>
      </c>
      <c r="L45" s="4">
        <f t="shared" si="2"/>
        <v>1288</v>
      </c>
      <c r="M45" s="4">
        <v>1060000</v>
      </c>
      <c r="N45" s="5">
        <f t="shared" si="3"/>
        <v>1.2150943396226415E-3</v>
      </c>
    </row>
    <row r="46" spans="1:14">
      <c r="A46" s="2" t="s">
        <v>71</v>
      </c>
      <c r="B46" s="3">
        <v>45905</v>
      </c>
      <c r="C46" s="2" t="s">
        <v>22</v>
      </c>
      <c r="D46" s="2" t="s">
        <v>23</v>
      </c>
      <c r="E46" s="2" t="s">
        <v>17</v>
      </c>
      <c r="F46" s="2" t="s">
        <v>101</v>
      </c>
      <c r="G46" s="2" t="s">
        <v>104</v>
      </c>
      <c r="H46" s="2" t="s">
        <v>102</v>
      </c>
      <c r="I46" s="2">
        <v>3</v>
      </c>
      <c r="J46" s="4">
        <v>700</v>
      </c>
      <c r="K46" s="5">
        <v>0</v>
      </c>
      <c r="L46" s="4">
        <f t="shared" si="2"/>
        <v>2100</v>
      </c>
      <c r="M46" s="4">
        <v>1170000</v>
      </c>
      <c r="N46" s="5">
        <f t="shared" si="3"/>
        <v>1.7948717948717949E-3</v>
      </c>
    </row>
    <row r="47" spans="1:14">
      <c r="A47" s="2" t="s">
        <v>72</v>
      </c>
      <c r="B47" s="3">
        <v>45942</v>
      </c>
      <c r="C47" s="2" t="s">
        <v>26</v>
      </c>
      <c r="D47" s="2" t="s">
        <v>23</v>
      </c>
      <c r="E47" s="2" t="s">
        <v>20</v>
      </c>
      <c r="F47" s="2" t="s">
        <v>99</v>
      </c>
      <c r="G47" s="2" t="s">
        <v>103</v>
      </c>
      <c r="H47" s="2" t="s">
        <v>100</v>
      </c>
      <c r="I47" s="2">
        <v>4</v>
      </c>
      <c r="J47" s="4">
        <v>240000</v>
      </c>
      <c r="K47" s="5">
        <v>0.03</v>
      </c>
      <c r="L47" s="4">
        <f t="shared" si="2"/>
        <v>931200</v>
      </c>
      <c r="M47" s="4">
        <v>1160000</v>
      </c>
      <c r="N47" s="5">
        <f t="shared" si="3"/>
        <v>0.8027586206896552</v>
      </c>
    </row>
    <row r="48" spans="1:14">
      <c r="A48" s="2" t="s">
        <v>73</v>
      </c>
      <c r="B48" s="3">
        <v>45980</v>
      </c>
      <c r="C48" s="2" t="s">
        <v>29</v>
      </c>
      <c r="D48" s="2" t="s">
        <v>30</v>
      </c>
      <c r="E48" s="2" t="s">
        <v>24</v>
      </c>
      <c r="F48" s="2" t="s">
        <v>101</v>
      </c>
      <c r="G48" s="2" t="s">
        <v>104</v>
      </c>
      <c r="H48" s="2" t="s">
        <v>102</v>
      </c>
      <c r="I48" s="2">
        <v>5</v>
      </c>
      <c r="J48" s="4">
        <v>700</v>
      </c>
      <c r="K48" s="5">
        <v>0.05</v>
      </c>
      <c r="L48" s="4">
        <f t="shared" si="2"/>
        <v>3325</v>
      </c>
      <c r="M48" s="4">
        <v>1270000</v>
      </c>
      <c r="N48" s="5">
        <f t="shared" si="3"/>
        <v>2.6181102362204723E-3</v>
      </c>
    </row>
    <row r="49" spans="1:14">
      <c r="A49" s="2" t="s">
        <v>74</v>
      </c>
      <c r="B49" s="3">
        <v>46017</v>
      </c>
      <c r="C49" s="2" t="s">
        <v>32</v>
      </c>
      <c r="D49" s="2" t="s">
        <v>30</v>
      </c>
      <c r="E49" s="2" t="s">
        <v>27</v>
      </c>
      <c r="F49" s="2" t="s">
        <v>99</v>
      </c>
      <c r="G49" s="2" t="s">
        <v>103</v>
      </c>
      <c r="H49" s="2" t="s">
        <v>100</v>
      </c>
      <c r="I49" s="2">
        <v>6</v>
      </c>
      <c r="J49" s="4">
        <v>240000</v>
      </c>
      <c r="K49" s="5">
        <v>0.08</v>
      </c>
      <c r="L49" s="4">
        <f t="shared" si="2"/>
        <v>1324800</v>
      </c>
      <c r="M49" s="4">
        <v>1380000</v>
      </c>
      <c r="N49" s="5">
        <f t="shared" si="3"/>
        <v>0.96</v>
      </c>
    </row>
    <row r="50" spans="1:14">
      <c r="A50" s="2" t="s">
        <v>75</v>
      </c>
      <c r="B50" s="3">
        <v>45668</v>
      </c>
      <c r="C50" s="2" t="s">
        <v>15</v>
      </c>
      <c r="D50" s="2" t="s">
        <v>16</v>
      </c>
      <c r="E50" s="2" t="s">
        <v>17</v>
      </c>
      <c r="F50" s="2" t="s">
        <v>99</v>
      </c>
      <c r="G50" s="2" t="s">
        <v>103</v>
      </c>
      <c r="H50" s="2" t="s">
        <v>100</v>
      </c>
      <c r="I50" s="2">
        <v>7</v>
      </c>
      <c r="J50" s="4">
        <v>240000</v>
      </c>
      <c r="K50" s="5">
        <v>0</v>
      </c>
      <c r="L50" s="4">
        <f t="shared" si="2"/>
        <v>1680000</v>
      </c>
      <c r="M50" s="4">
        <v>950000</v>
      </c>
      <c r="N50" s="5">
        <f t="shared" si="3"/>
        <v>1.7684210526315789</v>
      </c>
    </row>
    <row r="51" spans="1:14">
      <c r="A51" s="2" t="s">
        <v>76</v>
      </c>
      <c r="B51" s="3">
        <v>45706</v>
      </c>
      <c r="C51" s="2" t="s">
        <v>19</v>
      </c>
      <c r="D51" s="2" t="s">
        <v>16</v>
      </c>
      <c r="E51" s="2" t="s">
        <v>20</v>
      </c>
      <c r="F51" s="2" t="s">
        <v>101</v>
      </c>
      <c r="G51" s="2" t="s">
        <v>104</v>
      </c>
      <c r="H51" s="2" t="s">
        <v>102</v>
      </c>
      <c r="I51" s="2">
        <v>1</v>
      </c>
      <c r="J51" s="4">
        <v>700</v>
      </c>
      <c r="K51" s="5">
        <v>0.03</v>
      </c>
      <c r="L51" s="4">
        <f t="shared" si="2"/>
        <v>679</v>
      </c>
      <c r="M51" s="4">
        <v>1060000</v>
      </c>
      <c r="N51" s="5">
        <f t="shared" si="3"/>
        <v>6.4056603773584902E-4</v>
      </c>
    </row>
    <row r="52" spans="1:14">
      <c r="A52" s="2" t="s">
        <v>77</v>
      </c>
      <c r="B52" s="3">
        <v>45741</v>
      </c>
      <c r="C52" s="2" t="s">
        <v>22</v>
      </c>
      <c r="D52" s="2" t="s">
        <v>23</v>
      </c>
      <c r="E52" s="2" t="s">
        <v>24</v>
      </c>
      <c r="F52" s="2" t="s">
        <v>99</v>
      </c>
      <c r="G52" s="2" t="s">
        <v>103</v>
      </c>
      <c r="H52" s="2" t="s">
        <v>100</v>
      </c>
      <c r="I52" s="2">
        <v>2</v>
      </c>
      <c r="J52" s="4">
        <v>240000</v>
      </c>
      <c r="K52" s="5">
        <v>0.05</v>
      </c>
      <c r="L52" s="4">
        <f t="shared" si="2"/>
        <v>456000</v>
      </c>
      <c r="M52" s="4">
        <v>1170000</v>
      </c>
      <c r="N52" s="5">
        <f t="shared" si="3"/>
        <v>0.38974358974358975</v>
      </c>
    </row>
    <row r="53" spans="1:14">
      <c r="A53" s="2" t="s">
        <v>78</v>
      </c>
      <c r="B53" s="3">
        <v>45757</v>
      </c>
      <c r="C53" s="2" t="s">
        <v>26</v>
      </c>
      <c r="D53" s="2" t="s">
        <v>23</v>
      </c>
      <c r="E53" s="2" t="s">
        <v>27</v>
      </c>
      <c r="F53" s="2" t="s">
        <v>101</v>
      </c>
      <c r="G53" s="2" t="s">
        <v>104</v>
      </c>
      <c r="H53" s="2" t="s">
        <v>102</v>
      </c>
      <c r="I53" s="2">
        <v>3</v>
      </c>
      <c r="J53" s="4">
        <v>700</v>
      </c>
      <c r="K53" s="5">
        <v>0.08</v>
      </c>
      <c r="L53" s="4">
        <f t="shared" si="2"/>
        <v>1932</v>
      </c>
      <c r="M53" s="4">
        <v>1160000</v>
      </c>
      <c r="N53" s="5">
        <f t="shared" si="3"/>
        <v>1.6655172413793102E-3</v>
      </c>
    </row>
    <row r="54" spans="1:14">
      <c r="A54" s="2" t="s">
        <v>79</v>
      </c>
      <c r="B54" s="3">
        <v>45794</v>
      </c>
      <c r="C54" s="2" t="s">
        <v>29</v>
      </c>
      <c r="D54" s="2" t="s">
        <v>30</v>
      </c>
      <c r="E54" s="2" t="s">
        <v>17</v>
      </c>
      <c r="F54" s="2" t="s">
        <v>101</v>
      </c>
      <c r="G54" s="2" t="s">
        <v>104</v>
      </c>
      <c r="H54" s="2" t="s">
        <v>102</v>
      </c>
      <c r="I54" s="2">
        <v>4</v>
      </c>
      <c r="J54" s="4">
        <v>700</v>
      </c>
      <c r="K54" s="5">
        <v>0</v>
      </c>
      <c r="L54" s="4">
        <f t="shared" si="2"/>
        <v>2800</v>
      </c>
      <c r="M54" s="4">
        <v>1270000</v>
      </c>
      <c r="N54" s="5">
        <f t="shared" si="3"/>
        <v>2.204724409448819E-3</v>
      </c>
    </row>
    <row r="55" spans="1:14">
      <c r="A55" s="2" t="s">
        <v>80</v>
      </c>
      <c r="B55" s="3">
        <v>45832</v>
      </c>
      <c r="C55" s="2" t="s">
        <v>32</v>
      </c>
      <c r="D55" s="2" t="s">
        <v>30</v>
      </c>
      <c r="E55" s="2" t="s">
        <v>20</v>
      </c>
      <c r="F55" s="2" t="s">
        <v>99</v>
      </c>
      <c r="G55" s="2" t="s">
        <v>103</v>
      </c>
      <c r="H55" s="2" t="s">
        <v>100</v>
      </c>
      <c r="I55" s="2">
        <v>5</v>
      </c>
      <c r="J55" s="4">
        <v>240000</v>
      </c>
      <c r="K55" s="5">
        <v>0.03</v>
      </c>
      <c r="L55" s="4">
        <f t="shared" si="2"/>
        <v>1164000</v>
      </c>
      <c r="M55" s="4">
        <v>1380000</v>
      </c>
      <c r="N55" s="5">
        <f t="shared" si="3"/>
        <v>0.84347826086956523</v>
      </c>
    </row>
    <row r="56" spans="1:14">
      <c r="A56" s="2" t="s">
        <v>81</v>
      </c>
      <c r="B56" s="3">
        <v>45847</v>
      </c>
      <c r="C56" s="2" t="s">
        <v>15</v>
      </c>
      <c r="D56" s="2" t="s">
        <v>16</v>
      </c>
      <c r="E56" s="2" t="s">
        <v>24</v>
      </c>
      <c r="F56" s="2" t="s">
        <v>101</v>
      </c>
      <c r="G56" s="2" t="s">
        <v>104</v>
      </c>
      <c r="H56" s="2" t="s">
        <v>102</v>
      </c>
      <c r="I56" s="2">
        <v>6</v>
      </c>
      <c r="J56" s="4">
        <v>700</v>
      </c>
      <c r="K56" s="5">
        <v>0.05</v>
      </c>
      <c r="L56" s="4">
        <f t="shared" si="2"/>
        <v>3990</v>
      </c>
      <c r="M56" s="4">
        <v>950000</v>
      </c>
      <c r="N56" s="5">
        <f t="shared" si="3"/>
        <v>4.1999999999999997E-3</v>
      </c>
    </row>
    <row r="57" spans="1:14">
      <c r="A57" s="2" t="s">
        <v>82</v>
      </c>
      <c r="B57" s="3">
        <v>45885</v>
      </c>
      <c r="C57" s="2" t="s">
        <v>19</v>
      </c>
      <c r="D57" s="2" t="s">
        <v>16</v>
      </c>
      <c r="E57" s="2" t="s">
        <v>27</v>
      </c>
      <c r="F57" s="2" t="s">
        <v>99</v>
      </c>
      <c r="G57" s="2" t="s">
        <v>103</v>
      </c>
      <c r="H57" s="2" t="s">
        <v>100</v>
      </c>
      <c r="I57" s="2">
        <v>7</v>
      </c>
      <c r="J57" s="4">
        <v>240000</v>
      </c>
      <c r="K57" s="5">
        <v>0.08</v>
      </c>
      <c r="L57" s="4">
        <f t="shared" si="2"/>
        <v>1545600</v>
      </c>
      <c r="M57" s="4">
        <v>1060000</v>
      </c>
      <c r="N57" s="5">
        <f t="shared" si="3"/>
        <v>1.4581132075471699</v>
      </c>
    </row>
    <row r="58" spans="1:14">
      <c r="A58" s="2" t="s">
        <v>83</v>
      </c>
      <c r="B58" s="3">
        <v>45923</v>
      </c>
      <c r="C58" s="2" t="s">
        <v>22</v>
      </c>
      <c r="D58" s="2" t="s">
        <v>23</v>
      </c>
      <c r="E58" s="2" t="s">
        <v>17</v>
      </c>
      <c r="F58" s="2" t="s">
        <v>99</v>
      </c>
      <c r="G58" s="2" t="s">
        <v>103</v>
      </c>
      <c r="H58" s="2" t="s">
        <v>100</v>
      </c>
      <c r="I58" s="2">
        <v>1</v>
      </c>
      <c r="J58" s="4">
        <v>240000</v>
      </c>
      <c r="K58" s="5">
        <v>0</v>
      </c>
      <c r="L58" s="4">
        <f t="shared" si="2"/>
        <v>240000</v>
      </c>
      <c r="M58" s="4">
        <v>1170000</v>
      </c>
      <c r="N58" s="5">
        <f t="shared" si="3"/>
        <v>0.20512820512820512</v>
      </c>
    </row>
    <row r="59" spans="1:14">
      <c r="A59" s="2" t="s">
        <v>84</v>
      </c>
      <c r="B59" s="3">
        <v>45938</v>
      </c>
      <c r="C59" s="2" t="s">
        <v>26</v>
      </c>
      <c r="D59" s="2" t="s">
        <v>23</v>
      </c>
      <c r="E59" s="2" t="s">
        <v>20</v>
      </c>
      <c r="F59" s="2" t="s">
        <v>101</v>
      </c>
      <c r="G59" s="2" t="s">
        <v>104</v>
      </c>
      <c r="H59" s="2" t="s">
        <v>102</v>
      </c>
      <c r="I59" s="2">
        <v>2</v>
      </c>
      <c r="J59" s="4">
        <v>700</v>
      </c>
      <c r="K59" s="5">
        <v>0.03</v>
      </c>
      <c r="L59" s="4">
        <f t="shared" si="2"/>
        <v>1358</v>
      </c>
      <c r="M59" s="4">
        <v>1160000</v>
      </c>
      <c r="N59" s="5">
        <f t="shared" si="3"/>
        <v>1.1706896551724139E-3</v>
      </c>
    </row>
    <row r="60" spans="1:14">
      <c r="A60" s="2" t="s">
        <v>85</v>
      </c>
      <c r="B60" s="3">
        <v>45976</v>
      </c>
      <c r="C60" s="2" t="s">
        <v>29</v>
      </c>
      <c r="D60" s="2" t="s">
        <v>30</v>
      </c>
      <c r="E60" s="2" t="s">
        <v>24</v>
      </c>
      <c r="F60" s="2" t="s">
        <v>99</v>
      </c>
      <c r="G60" s="2" t="s">
        <v>103</v>
      </c>
      <c r="H60" s="2" t="s">
        <v>100</v>
      </c>
      <c r="I60" s="2">
        <v>3</v>
      </c>
      <c r="J60" s="4">
        <v>240000</v>
      </c>
      <c r="K60" s="5">
        <v>0.05</v>
      </c>
      <c r="L60" s="4">
        <f t="shared" si="2"/>
        <v>684000</v>
      </c>
      <c r="M60" s="4">
        <v>1270000</v>
      </c>
      <c r="N60" s="5">
        <f t="shared" si="3"/>
        <v>0.53858267716535435</v>
      </c>
    </row>
    <row r="61" spans="1:14">
      <c r="A61" s="2" t="s">
        <v>86</v>
      </c>
      <c r="B61" s="3">
        <v>46013</v>
      </c>
      <c r="C61" s="2" t="s">
        <v>32</v>
      </c>
      <c r="D61" s="2" t="s">
        <v>30</v>
      </c>
      <c r="E61" s="2" t="s">
        <v>27</v>
      </c>
      <c r="F61" s="2" t="s">
        <v>101</v>
      </c>
      <c r="G61" s="2" t="s">
        <v>104</v>
      </c>
      <c r="H61" s="2" t="s">
        <v>102</v>
      </c>
      <c r="I61" s="2">
        <v>4</v>
      </c>
      <c r="J61" s="4">
        <v>700</v>
      </c>
      <c r="K61" s="5">
        <v>0.08</v>
      </c>
      <c r="L61" s="4">
        <f t="shared" si="2"/>
        <v>2576</v>
      </c>
      <c r="M61" s="4">
        <v>1380000</v>
      </c>
      <c r="N61" s="5">
        <f t="shared" si="3"/>
        <v>1.8666666666666666E-3</v>
      </c>
    </row>
    <row r="62" spans="1:14">
      <c r="A62" s="2" t="s">
        <v>87</v>
      </c>
      <c r="B62" s="3">
        <v>45664</v>
      </c>
      <c r="C62" s="2" t="s">
        <v>15</v>
      </c>
      <c r="D62" s="2" t="s">
        <v>16</v>
      </c>
      <c r="E62" s="2" t="s">
        <v>17</v>
      </c>
      <c r="F62" s="2" t="s">
        <v>101</v>
      </c>
      <c r="G62" s="2" t="s">
        <v>104</v>
      </c>
      <c r="H62" s="2" t="s">
        <v>102</v>
      </c>
      <c r="I62" s="2">
        <v>5</v>
      </c>
      <c r="J62" s="4">
        <v>700</v>
      </c>
      <c r="K62" s="5">
        <v>0</v>
      </c>
      <c r="L62" s="4">
        <f t="shared" si="2"/>
        <v>3500</v>
      </c>
      <c r="M62" s="4">
        <v>950000</v>
      </c>
      <c r="N62" s="5">
        <f t="shared" si="3"/>
        <v>3.6842105263157894E-3</v>
      </c>
    </row>
    <row r="63" spans="1:14">
      <c r="A63" s="2" t="s">
        <v>88</v>
      </c>
      <c r="B63" s="3">
        <v>45702</v>
      </c>
      <c r="C63" s="2" t="s">
        <v>19</v>
      </c>
      <c r="D63" s="2" t="s">
        <v>16</v>
      </c>
      <c r="E63" s="2" t="s">
        <v>20</v>
      </c>
      <c r="F63" s="2" t="s">
        <v>99</v>
      </c>
      <c r="G63" s="2" t="s">
        <v>103</v>
      </c>
      <c r="H63" s="2" t="s">
        <v>100</v>
      </c>
      <c r="I63" s="2">
        <v>6</v>
      </c>
      <c r="J63" s="4">
        <v>240000</v>
      </c>
      <c r="K63" s="5">
        <v>0.03</v>
      </c>
      <c r="L63" s="4">
        <f t="shared" si="2"/>
        <v>1396800</v>
      </c>
      <c r="M63" s="4">
        <v>1060000</v>
      </c>
      <c r="N63" s="5">
        <f t="shared" si="3"/>
        <v>1.3177358490566038</v>
      </c>
    </row>
    <row r="64" spans="1:14">
      <c r="A64" s="2" t="s">
        <v>89</v>
      </c>
      <c r="B64" s="3">
        <v>45737</v>
      </c>
      <c r="C64" s="2" t="s">
        <v>22</v>
      </c>
      <c r="D64" s="2" t="s">
        <v>23</v>
      </c>
      <c r="E64" s="2" t="s">
        <v>24</v>
      </c>
      <c r="F64" s="2" t="s">
        <v>101</v>
      </c>
      <c r="G64" s="2" t="s">
        <v>104</v>
      </c>
      <c r="H64" s="2" t="s">
        <v>102</v>
      </c>
      <c r="I64" s="2">
        <v>7</v>
      </c>
      <c r="J64" s="4">
        <v>700</v>
      </c>
      <c r="K64" s="5">
        <v>0.05</v>
      </c>
      <c r="L64" s="4">
        <f t="shared" si="2"/>
        <v>4655</v>
      </c>
      <c r="M64" s="4">
        <v>1170000</v>
      </c>
      <c r="N64" s="5">
        <f t="shared" si="3"/>
        <v>3.9786324786324784E-3</v>
      </c>
    </row>
    <row r="65" spans="1:14">
      <c r="A65" s="2" t="s">
        <v>90</v>
      </c>
      <c r="B65" s="3">
        <v>45753</v>
      </c>
      <c r="C65" s="2" t="s">
        <v>26</v>
      </c>
      <c r="D65" s="2" t="s">
        <v>23</v>
      </c>
      <c r="E65" s="2" t="s">
        <v>27</v>
      </c>
      <c r="F65" s="2" t="s">
        <v>99</v>
      </c>
      <c r="G65" s="2" t="s">
        <v>103</v>
      </c>
      <c r="H65" s="2" t="s">
        <v>100</v>
      </c>
      <c r="I65" s="2">
        <v>1</v>
      </c>
      <c r="J65" s="4">
        <v>240000</v>
      </c>
      <c r="K65" s="5">
        <v>0.08</v>
      </c>
      <c r="L65" s="4">
        <f t="shared" si="2"/>
        <v>220800</v>
      </c>
      <c r="M65" s="4">
        <v>1160000</v>
      </c>
      <c r="N65" s="5">
        <f t="shared" si="3"/>
        <v>0.19034482758620688</v>
      </c>
    </row>
    <row r="66" spans="1:14">
      <c r="A66" s="2" t="s">
        <v>91</v>
      </c>
      <c r="B66" s="3">
        <v>45790</v>
      </c>
      <c r="C66" s="2" t="s">
        <v>29</v>
      </c>
      <c r="D66" s="2" t="s">
        <v>30</v>
      </c>
      <c r="E66" s="2" t="s">
        <v>17</v>
      </c>
      <c r="F66" s="2" t="s">
        <v>99</v>
      </c>
      <c r="G66" s="2" t="s">
        <v>103</v>
      </c>
      <c r="H66" s="2" t="s">
        <v>100</v>
      </c>
      <c r="I66" s="2">
        <v>2</v>
      </c>
      <c r="J66" s="4">
        <v>240000</v>
      </c>
      <c r="K66" s="5">
        <v>0</v>
      </c>
      <c r="L66" s="4">
        <f t="shared" ref="L66:L73" si="4">I66*J66*(1-K66)</f>
        <v>480000</v>
      </c>
      <c r="M66" s="4">
        <v>1270000</v>
      </c>
      <c r="N66" s="5">
        <f t="shared" ref="N66:N73" si="5">L66/M66</f>
        <v>0.37795275590551181</v>
      </c>
    </row>
    <row r="67" spans="1:14">
      <c r="A67" s="2" t="s">
        <v>92</v>
      </c>
      <c r="B67" s="3">
        <v>45828</v>
      </c>
      <c r="C67" s="2" t="s">
        <v>32</v>
      </c>
      <c r="D67" s="2" t="s">
        <v>30</v>
      </c>
      <c r="E67" s="2" t="s">
        <v>20</v>
      </c>
      <c r="F67" s="2" t="s">
        <v>101</v>
      </c>
      <c r="G67" s="2" t="s">
        <v>104</v>
      </c>
      <c r="H67" s="2" t="s">
        <v>102</v>
      </c>
      <c r="I67" s="2">
        <v>3</v>
      </c>
      <c r="J67" s="4">
        <v>700</v>
      </c>
      <c r="K67" s="5">
        <v>0.03</v>
      </c>
      <c r="L67" s="4">
        <f t="shared" si="4"/>
        <v>2037</v>
      </c>
      <c r="M67" s="4">
        <v>1380000</v>
      </c>
      <c r="N67" s="5">
        <f t="shared" si="5"/>
        <v>1.4760869565217391E-3</v>
      </c>
    </row>
    <row r="68" spans="1:14">
      <c r="A68" s="2" t="s">
        <v>93</v>
      </c>
      <c r="B68" s="3">
        <v>45843</v>
      </c>
      <c r="C68" s="2" t="s">
        <v>15</v>
      </c>
      <c r="D68" s="2" t="s">
        <v>16</v>
      </c>
      <c r="E68" s="2" t="s">
        <v>24</v>
      </c>
      <c r="F68" s="2" t="s">
        <v>99</v>
      </c>
      <c r="G68" s="2" t="s">
        <v>103</v>
      </c>
      <c r="H68" s="2" t="s">
        <v>100</v>
      </c>
      <c r="I68" s="2">
        <v>4</v>
      </c>
      <c r="J68" s="4">
        <v>240000</v>
      </c>
      <c r="K68" s="5">
        <v>0.05</v>
      </c>
      <c r="L68" s="4">
        <f t="shared" si="4"/>
        <v>912000</v>
      </c>
      <c r="M68" s="4">
        <v>950000</v>
      </c>
      <c r="N68" s="5">
        <f t="shared" si="5"/>
        <v>0.96</v>
      </c>
    </row>
    <row r="69" spans="1:14">
      <c r="A69" s="2" t="s">
        <v>94</v>
      </c>
      <c r="B69" s="3">
        <v>45881</v>
      </c>
      <c r="C69" s="2" t="s">
        <v>19</v>
      </c>
      <c r="D69" s="2" t="s">
        <v>16</v>
      </c>
      <c r="E69" s="2" t="s">
        <v>27</v>
      </c>
      <c r="F69" s="2" t="s">
        <v>101</v>
      </c>
      <c r="G69" s="2" t="s">
        <v>104</v>
      </c>
      <c r="H69" s="2" t="s">
        <v>102</v>
      </c>
      <c r="I69" s="2">
        <v>5</v>
      </c>
      <c r="J69" s="4">
        <v>700</v>
      </c>
      <c r="K69" s="5">
        <v>0.08</v>
      </c>
      <c r="L69" s="4">
        <f t="shared" si="4"/>
        <v>3220</v>
      </c>
      <c r="M69" s="4">
        <v>1060000</v>
      </c>
      <c r="N69" s="5">
        <f t="shared" si="5"/>
        <v>3.0377358490566038E-3</v>
      </c>
    </row>
    <row r="70" spans="1:14">
      <c r="A70" s="2" t="s">
        <v>95</v>
      </c>
      <c r="B70" s="3">
        <v>45919</v>
      </c>
      <c r="C70" s="2" t="s">
        <v>22</v>
      </c>
      <c r="D70" s="2" t="s">
        <v>23</v>
      </c>
      <c r="E70" s="2" t="s">
        <v>17</v>
      </c>
      <c r="F70" s="2" t="s">
        <v>101</v>
      </c>
      <c r="G70" s="2" t="s">
        <v>104</v>
      </c>
      <c r="H70" s="2" t="s">
        <v>102</v>
      </c>
      <c r="I70" s="2">
        <v>6</v>
      </c>
      <c r="J70" s="4">
        <v>700</v>
      </c>
      <c r="K70" s="5">
        <v>0</v>
      </c>
      <c r="L70" s="4">
        <f t="shared" si="4"/>
        <v>4200</v>
      </c>
      <c r="M70" s="4">
        <v>1170000</v>
      </c>
      <c r="N70" s="5">
        <f t="shared" si="5"/>
        <v>3.5897435897435897E-3</v>
      </c>
    </row>
    <row r="71" spans="1:14">
      <c r="A71" s="2" t="s">
        <v>96</v>
      </c>
      <c r="B71" s="3">
        <v>45956</v>
      </c>
      <c r="C71" s="2" t="s">
        <v>26</v>
      </c>
      <c r="D71" s="2" t="s">
        <v>23</v>
      </c>
      <c r="E71" s="2" t="s">
        <v>20</v>
      </c>
      <c r="F71" s="2" t="s">
        <v>99</v>
      </c>
      <c r="G71" s="2" t="s">
        <v>103</v>
      </c>
      <c r="H71" s="2" t="s">
        <v>100</v>
      </c>
      <c r="I71" s="2">
        <v>7</v>
      </c>
      <c r="J71" s="4">
        <v>240000</v>
      </c>
      <c r="K71" s="5">
        <v>0.03</v>
      </c>
      <c r="L71" s="4">
        <f t="shared" si="4"/>
        <v>1629600</v>
      </c>
      <c r="M71" s="4">
        <v>1160000</v>
      </c>
      <c r="N71" s="5">
        <f t="shared" si="5"/>
        <v>1.4048275862068966</v>
      </c>
    </row>
    <row r="72" spans="1:14">
      <c r="A72" s="2" t="s">
        <v>97</v>
      </c>
      <c r="B72" s="3">
        <v>45972</v>
      </c>
      <c r="C72" s="2" t="s">
        <v>29</v>
      </c>
      <c r="D72" s="2" t="s">
        <v>30</v>
      </c>
      <c r="E72" s="2" t="s">
        <v>24</v>
      </c>
      <c r="F72" s="2" t="s">
        <v>101</v>
      </c>
      <c r="G72" s="2" t="s">
        <v>104</v>
      </c>
      <c r="H72" s="2" t="s">
        <v>102</v>
      </c>
      <c r="I72" s="2">
        <v>1</v>
      </c>
      <c r="J72" s="4">
        <v>700</v>
      </c>
      <c r="K72" s="5">
        <v>0.05</v>
      </c>
      <c r="L72" s="4">
        <f t="shared" si="4"/>
        <v>665</v>
      </c>
      <c r="M72" s="4">
        <v>1270000</v>
      </c>
      <c r="N72" s="5">
        <f t="shared" si="5"/>
        <v>5.2362204724409444E-4</v>
      </c>
    </row>
    <row r="73" spans="1:14">
      <c r="A73" s="2" t="s">
        <v>98</v>
      </c>
      <c r="B73" s="3">
        <v>46009</v>
      </c>
      <c r="C73" s="2" t="s">
        <v>32</v>
      </c>
      <c r="D73" s="2" t="s">
        <v>30</v>
      </c>
      <c r="E73" s="2" t="s">
        <v>27</v>
      </c>
      <c r="F73" s="2" t="s">
        <v>99</v>
      </c>
      <c r="G73" s="2" t="s">
        <v>103</v>
      </c>
      <c r="H73" s="2" t="s">
        <v>100</v>
      </c>
      <c r="I73" s="2">
        <v>2</v>
      </c>
      <c r="J73" s="4">
        <v>240000</v>
      </c>
      <c r="K73" s="5">
        <v>0.08</v>
      </c>
      <c r="L73" s="4">
        <f t="shared" si="4"/>
        <v>441600</v>
      </c>
      <c r="M73" s="4">
        <v>1380000</v>
      </c>
      <c r="N73" s="5">
        <f t="shared" si="5"/>
        <v>0.32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業務銷售數據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Aiworks</cp:lastModifiedBy>
  <dcterms:modified xsi:type="dcterms:W3CDTF">2026-09-09T08:05:01Z</dcterms:modified>
</cp:coreProperties>
</file>